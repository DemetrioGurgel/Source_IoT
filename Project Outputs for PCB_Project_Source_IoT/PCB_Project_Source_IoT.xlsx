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8025"/>
  <workbookPr codeName="EstaPastaDeTrabalho"/>
  <bookViews>
    <workbookView xmlns:d3p1="http://schemas.microsoft.com/office/spreadsheetml/2015/revision2" xWindow="-120" yWindow="-120" windowWidth="29040" windowHeight="15720" d3p1:uid="{21897153-7DC8-4A57-8222-6E500058D9CF}"/>
  </bookViews>
  <sheets>
    <sheet name="BoM" sheetId="1" r:id="rId1"/>
    <sheet name="Impostos" sheetId="6" r:id="rId2"/>
  </sheets>
  <calcPr fullPrecision="1" calcMode="auto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<sst xmlns="http://schemas.openxmlformats.org/spreadsheetml/2006/main" uniqueCount="170">
  <si>
    <t>Lista de Materiais</t>
  </si>
  <si>
    <t>Manufacturer Part Number</t>
  </si>
  <si>
    <t>Description</t>
  </si>
  <si>
    <t>Supplier 1</t>
  </si>
  <si>
    <t>Supplier Stock 1</t>
  </si>
  <si>
    <t>Item</t>
  </si>
  <si>
    <t>Projeto:</t>
  </si>
  <si>
    <t>Arquivo:</t>
  </si>
  <si>
    <t>Versão:</t>
  </si>
  <si>
    <t>Data:</t>
  </si>
  <si>
    <t>Contato:</t>
  </si>
  <si>
    <t>Impostos</t>
  </si>
  <si>
    <t>Valor do produto</t>
  </si>
  <si>
    <t>Valor (USD)</t>
  </si>
  <si>
    <t>Valor (BRL)</t>
  </si>
  <si>
    <t>ICMS Paraíba (18%)</t>
  </si>
  <si>
    <t>Valor do frete</t>
  </si>
  <si>
    <t>Imposto alfandegário (60%)</t>
  </si>
  <si>
    <t>Taxa de Desembaraço FEDEX</t>
  </si>
  <si>
    <t>Total</t>
  </si>
  <si>
    <t>Spread do dólar (4%)</t>
  </si>
  <si>
    <t>=</t>
  </si>
  <si>
    <t>R$</t>
  </si>
  <si>
    <t>Valor total da compra</t>
  </si>
  <si>
    <t>Valor a Pagar</t>
  </si>
  <si>
    <t>Pagamento 01</t>
  </si>
  <si>
    <t>Pagamento 02</t>
  </si>
  <si>
    <t>Pagamento 01 é realizado no ato da compra, cobrado imediatamente no cartão de crédito.</t>
  </si>
  <si>
    <t>Pagamento 02 é realizado no ato da recepção da mercadoria, cobrado pelo courrier referente às despesas aduaneiras e de desembaraço.</t>
  </si>
  <si>
    <t>Valores</t>
  </si>
  <si>
    <t>Supplier Part Number 1</t>
  </si>
  <si>
    <t>Virtus CC</t>
  </si>
  <si>
    <t>PCB_Project_Source_IoT.BomDoc</t>
  </si>
  <si>
    <t>v.0.1</t>
  </si>
  <si>
    <t>24/09/2025</t>
  </si>
  <si>
    <t>Quantity</t>
  </si>
  <si>
    <t>Designator</t>
  </si>
  <si>
    <t>L1</t>
  </si>
  <si>
    <t>J2, J3, J6, J7</t>
  </si>
  <si>
    <t>J1, J4, J5, J8</t>
  </si>
  <si>
    <t>U1</t>
  </si>
  <si>
    <t>C6, C8</t>
  </si>
  <si>
    <t>C2, C3</t>
  </si>
  <si>
    <t>C1, C5, C7, C9</t>
  </si>
  <si>
    <t>C4</t>
  </si>
  <si>
    <t>R1, R8</t>
  </si>
  <si>
    <t>R2, R6, R10, R14, R15</t>
  </si>
  <si>
    <t>T2</t>
  </si>
  <si>
    <t>T1, T4</t>
  </si>
  <si>
    <t>R5</t>
  </si>
  <si>
    <t>U4</t>
  </si>
  <si>
    <t>LG1, LG2</t>
  </si>
  <si>
    <t>D1, D3, D7, D13, D14</t>
  </si>
  <si>
    <t>D9</t>
  </si>
  <si>
    <t>D5, D6, D10, D11, D12</t>
  </si>
  <si>
    <t>U2</t>
  </si>
  <si>
    <t>D2, D15</t>
  </si>
  <si>
    <t>T3</t>
  </si>
  <si>
    <t>STF1, STF2, STF3, STF4</t>
  </si>
  <si>
    <t>R4</t>
  </si>
  <si>
    <t>R9</t>
  </si>
  <si>
    <t>R3, R7, R16</t>
  </si>
  <si>
    <t>R12</t>
  </si>
  <si>
    <t>R11</t>
  </si>
  <si>
    <t>R13</t>
  </si>
  <si>
    <t>SCW1, SCW2, SCW3, SCW4</t>
  </si>
  <si>
    <t>D8</t>
  </si>
  <si>
    <t>D16</t>
  </si>
  <si>
    <t>D4</t>
  </si>
  <si>
    <t>U3</t>
  </si>
  <si>
    <t>CONN1</t>
  </si>
  <si>
    <t>1255AY-4R7M=P3</t>
  </si>
  <si>
    <t>5444262</t>
  </si>
  <si>
    <t>5447861</t>
  </si>
  <si>
    <t>AP63205WU-7</t>
  </si>
  <si>
    <t>C2012X5R1E475K125AB</t>
  </si>
  <si>
    <t>CL21A226MAYNNNE</t>
  </si>
  <si>
    <t>CL21B104KACNNNC</t>
  </si>
  <si>
    <t>CL31A106KBHNNNE</t>
  </si>
  <si>
    <t>CRGCQ0805F100K</t>
  </si>
  <si>
    <t>CRGCQ0805J470R</t>
  </si>
  <si>
    <t>DDTC143ZCA-7-F</t>
  </si>
  <si>
    <t>DMP4065S-7</t>
  </si>
  <si>
    <t>ERJ-6ENF2001V</t>
  </si>
  <si>
    <t>LM4041DYM3-1.2-TR</t>
  </si>
  <si>
    <t>LTST-C170GKT</t>
  </si>
  <si>
    <t>LTST-C171TBKT</t>
  </si>
  <si>
    <t>MBR120VLSFT1G</t>
  </si>
  <si>
    <t>MCP73831T-2ACI/OT</t>
  </si>
  <si>
    <t>MMSZ5245B-TP</t>
  </si>
  <si>
    <t>PJA3415_R1_00001</t>
  </si>
  <si>
    <t>RC0805FR-071KL</t>
  </si>
  <si>
    <t>RC0805FR-071ML</t>
  </si>
  <si>
    <t>RC0805FR-0710KL</t>
  </si>
  <si>
    <t>RC0805FR-0716KL</t>
  </si>
  <si>
    <t>RC0805FR-07270KL</t>
  </si>
  <si>
    <t>RC0805FR-13330KL</t>
  </si>
  <si>
    <t>SMAJ5.0A-13-F</t>
  </si>
  <si>
    <t>SMBJ6.0CA-TR</t>
  </si>
  <si>
    <t>SMBJ28CAQ-13-F</t>
  </si>
  <si>
    <t>TLV7031QDBVRQ1</t>
  </si>
  <si>
    <t>TSW-101-07-G-D</t>
  </si>
  <si>
    <t>FIXED IND 4.7UH 4A 23 MOHM SMD</t>
  </si>
  <si>
    <t>TERM BLOCK HDR 2POS 90DEG 3.81MM</t>
  </si>
  <si>
    <t>TERM BLOCK PLUG 2POS STR 3.81MM</t>
  </si>
  <si>
    <t>IC REG BUCK 5V 2A TSOT23-6</t>
  </si>
  <si>
    <t>CAP CER 4.7UF 25V X5R 0805</t>
  </si>
  <si>
    <t>CAP CER 22UF 25V X5R 0805</t>
  </si>
  <si>
    <t>CAP CER 0.1UF 25V X7R 0805</t>
  </si>
  <si>
    <t>CAP CER 10UF 50V X5R 1206</t>
  </si>
  <si>
    <t>RES 100K OHM 1% 1/8W 0805</t>
  </si>
  <si>
    <t>RES 470 OHM 5% 1/8W 0805</t>
  </si>
  <si>
    <t>TRANS PREBIAS NPN 200MW SOT23-3</t>
  </si>
  <si>
    <t>MOSFET P-CH 40V 2.4A SOT23</t>
  </si>
  <si>
    <t>RES SMD 2K OHM 1% 1/8W 0805</t>
  </si>
  <si>
    <t>IC VREF SHUNT 1% SOT23-3</t>
  </si>
  <si>
    <t>LED GREEN CLEAR SMD</t>
  </si>
  <si>
    <t>LED BLUE CLEAR CHIP SMD</t>
  </si>
  <si>
    <t>DIODE SCHOTTKY 20V 1A SOD123FL</t>
  </si>
  <si>
    <t>IC BATT CNTL LI-ION 1CEL SOT23-5</t>
  </si>
  <si>
    <t>DIODE ZENER 15V 500MW SOD123</t>
  </si>
  <si>
    <t>MOSFET P-CHANNEL 20V 4A SOT23</t>
  </si>
  <si>
    <t>HEX STANDOFF M3x0.5 BRASS 15MM</t>
  </si>
  <si>
    <t>RES 1K OHM 1% 1/8W 0805</t>
  </si>
  <si>
    <t>RES 1M OHM 1% 1/8W 0805</t>
  </si>
  <si>
    <t>RES 10K OHM 1% 1/8W 0805</t>
  </si>
  <si>
    <t>RES 16K OHM 1% 1/8W 0805</t>
  </si>
  <si>
    <t>RES 270K OHM 1% 1/8W 0805</t>
  </si>
  <si>
    <t>RES 330K OHM 1% 1/8W 0805</t>
  </si>
  <si>
    <t>SCREW_M3</t>
  </si>
  <si>
    <t>TVS DIODE 5VWM 9.2VC SMA</t>
  </si>
  <si>
    <t>TVS DIODE 6VWM 10.3VC SMB</t>
  </si>
  <si>
    <t>TVS DIODE 28VWM 45.4VC SMB</t>
  </si>
  <si>
    <t>AUTOMOTIVE NANO POWER COMPARATOR</t>
  </si>
  <si>
    <t>CONN HEADER VERT 2POS</t>
  </si>
  <si>
    <t>DigiKey</t>
  </si>
  <si>
    <t>Mouser</t>
  </si>
  <si>
    <t>490-10812-1-ND</t>
  </si>
  <si>
    <t>651-5444262</t>
  </si>
  <si>
    <t>651-5447861</t>
  </si>
  <si>
    <t>621-AP63205WU-7</t>
  </si>
  <si>
    <t>445-4116-1-ND</t>
  </si>
  <si>
    <t>187-CL21A226MAYNNNE</t>
  </si>
  <si>
    <t>1276-1099-1-ND</t>
  </si>
  <si>
    <t>1276-2876-1-ND</t>
  </si>
  <si>
    <t>A129773CT-ND</t>
  </si>
  <si>
    <t>279-CRGCQ0805J470R</t>
  </si>
  <si>
    <t>1727-3045-1-ND</t>
  </si>
  <si>
    <t>621-DMP4065S-7</t>
  </si>
  <si>
    <t>P2.00KCCT-ND</t>
  </si>
  <si>
    <t>576-2572-1-ND</t>
  </si>
  <si>
    <t>160-1179-1-ND</t>
  </si>
  <si>
    <t>160-1645-1-ND</t>
  </si>
  <si>
    <t>MBR120VLSFT1GOSCT-ND</t>
  </si>
  <si>
    <t>579-MCP73831T-2ACIOT</t>
  </si>
  <si>
    <t>MMSZ5245B-TPMSCT-ND</t>
  </si>
  <si>
    <t>3757-PJA3415_R1_00001CT-ND</t>
  </si>
  <si>
    <t>603-RC0805FR-071KL</t>
  </si>
  <si>
    <t>603-RC0805FR-071ML</t>
  </si>
  <si>
    <t>603-RC0805FR-0710KL</t>
  </si>
  <si>
    <t>311-16.0KCRCT-ND</t>
  </si>
  <si>
    <t>603-RC0805FR-07270KL</t>
  </si>
  <si>
    <t>603-RC0805FR-13330KL</t>
  </si>
  <si>
    <t>SMAJ5.0A-E3/61GICT-ND</t>
  </si>
  <si>
    <t>497-7454-1-ND</t>
  </si>
  <si>
    <t>SMBJ28CAQ-13-FDICT-ND</t>
  </si>
  <si>
    <t>595-TLV7031QDBVRQ1</t>
  </si>
  <si>
    <t>200-TSW10107GD</t>
  </si>
  <si>
    <t>Supplier Unit Price 1</t>
  </si>
  <si>
    <t>Supplier Subtotal 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</si>
</sst>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[$USD]\ #,##0.00"/>
    <numFmt numFmtId="165" formatCode="_-[$USD]\ * #,##0.00_-;\-[$USD]\ * #,##0.00_-;_-[$USD]\ * &quot;-&quot;??_-;_-@_-"/>
    <numFmt numFmtId="166" formatCode="_-[$BRL]\ * #,##0.00_-;\-[$BRL]\ * #,##0.00_-;_-[$BRL]\ * &quot;-&quot;??_-;_-@_-"/>
  </numFmts>
  <fonts count="11">
    <font>
      <sz val="11"/>
      <name val="Calibri"/>
      <charset val="0"/>
      <color theme="1"/>
      <scheme val="minor"/>
    </font>
    <font>
      <b/>
      <sz val="11"/>
      <name val="Calibri"/>
      <charset val="0"/>
      <color theme="1"/>
      <scheme val="minor"/>
    </font>
    <font>
      <sz val="11"/>
      <name val="Roboto"/>
      <charset val="0"/>
      <color theme="1"/>
    </font>
    <font>
      <b/>
      <sz val="11"/>
      <name val="Roboto"/>
      <charset val="0"/>
      <color theme="1"/>
    </font>
    <font>
      <sz val="11"/>
      <name val="Calibri"/>
      <charset val="0"/>
      <color theme="1"/>
      <scheme val="minor"/>
    </font>
    <font>
      <sz val="26"/>
      <name val="Roboto"/>
      <charset val="0"/>
      <color theme="1"/>
    </font>
    <font>
      <sz val="10"/>
      <name val="Roboto"/>
      <charset val="0"/>
      <color theme="1"/>
    </font>
    <font>
      <sz val="9"/>
      <name val="Roboto"/>
      <charset val="0"/>
      <color theme="1"/>
    </font>
    <font>
      <sz val="18"/>
      <name val="Roboto"/>
      <charset val="0"/>
      <color theme="1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7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lightUp">
        <bgColor indexed="65"/>
      </patternFill>
    </fill>
    <fill>
      <patternFill patternType="darkUp">
        <bgColor indexed="65"/>
      </patternFill>
    </fill>
    <fill>
      <patternFill patternType="none">
        <fgColor indexed="64"/>
        <bgColor indexed="6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xxid="0" numFmtId="0" fontId="0" fillId="0" borderId="0"/>
    <xf xxid="59" numFmtId="0" fontId="10" fillId="6" borderId="0" applyAlignment="0"/>
  </cellStyleXfs>
  <cellXfs>
    <xf xxid="1" numFmtId="0" fontId="0" fillId="0" borderId="0" xfId="0" applyAlignment="1" applyBorder="1" applyFont="1" applyNumberFormat="1" applyFill="1" applyProtection="1"/>
    <xf xxid="2" numFmtId="0" fontId="0" fillId="0" borderId="0" xfId="0" applyAlignment="1" applyBorder="1" applyFont="1" applyNumberFormat="1" applyFill="1" applyProtection="1">
      <alignment horizontal="left"/>
    </xf>
    <xf xxid="3" numFmtId="0" fontId="1" fillId="0" borderId="0" xfId="0" applyAlignment="1" applyBorder="1" applyFont="1" applyNumberFormat="1" applyFill="1" applyProtection="1">
      <alignment horizontal="right"/>
    </xf>
    <xf xxid="4" numFmtId="0" fontId="2" fillId="0" borderId="1" xfId="0" applyAlignment="1" applyBorder="1" applyFont="1" applyNumberFormat="1" applyFill="1" applyProtection="1">
      <alignment horizontal="right"/>
    </xf>
    <xf xxid="5" numFmtId="0" fontId="3" fillId="2" borderId="1" xfId="0" applyAlignment="1" applyBorder="1" applyFont="1" applyNumberFormat="1" applyFill="1" applyProtection="1">
      <alignment horizontal="center"/>
    </xf>
    <xf xxid="6" numFmtId="0" fontId="2" fillId="0" borderId="0" xfId="0" applyAlignment="1" applyBorder="1" applyFont="1" applyNumberFormat="1" applyFill="1" applyProtection="1">
      <alignment horizontal="right"/>
    </xf>
    <xf xxid="7" numFmtId="0" fontId="2" fillId="0" borderId="0" xfId="0" applyAlignment="1" applyBorder="1" applyFont="1" applyNumberFormat="1" applyFill="1" applyProtection="1"/>
    <xf xxid="8" numFmtId="0" fontId="5" fillId="0" borderId="0" xfId="0" applyAlignment="1" applyBorder="1" applyFont="1" applyNumberFormat="1" applyFill="1" applyProtection="1">
      <alignment horizontal="center" vertical="center"/>
    </xf>
    <xf xxid="9" numFmtId="165" fontId="2" fillId="0" borderId="1" xfId="0" applyAlignment="1" applyBorder="1" applyFont="1" applyNumberFormat="1" applyFill="1" applyProtection="1"/>
    <xf xxid="10" numFmtId="166" fontId="2" fillId="0" borderId="1" xfId="0" applyAlignment="1" applyBorder="1" applyFont="1" applyNumberFormat="1" applyFill="1" applyProtection="1"/>
    <xf xxid="11" numFmtId="0" fontId="5" fillId="0" borderId="0" xfId="0" applyAlignment="1" applyBorder="1" applyFont="1" applyNumberFormat="1" applyFill="1" applyProtection="1">
      <alignment vertical="center"/>
    </xf>
    <xf xxid="12" numFmtId="14" fontId="2" fillId="0" borderId="1" xfId="0" applyAlignment="1" applyBorder="1" applyFont="1" applyNumberFormat="1" applyFill="1" applyProtection="1">
      <alignment horizontal="left" vertical="center"/>
    </xf>
    <xf xxid="13" numFmtId="0" fontId="2" fillId="0" borderId="1" xfId="0" applyAlignment="1" applyBorder="1" applyFont="1" applyNumberFormat="1" applyFill="1" applyProtection="1">
      <alignment horizontal="left" vertical="center"/>
    </xf>
    <xf xxid="14" numFmtId="0" fontId="2" fillId="0" borderId="1" xfId="0" applyAlignment="1" applyBorder="1" applyFont="1" applyNumberFormat="1" applyFill="1" applyProtection="1">
      <alignment horizontal="left" vertical="center" wrapText="1"/>
    </xf>
    <xf xxid="15" numFmtId="0" fontId="2" fillId="3" borderId="1" xfId="0" applyAlignment="1" applyBorder="1" applyFont="1" applyNumberFormat="1" applyFill="1" applyProtection="1">
      <alignment horizontal="right"/>
    </xf>
    <xf xxid="16" numFmtId="165" fontId="2" fillId="3" borderId="1" xfId="0" applyAlignment="1" applyBorder="1" applyFont="1" applyNumberFormat="1" applyFill="1" applyProtection="1"/>
    <xf xxid="17" numFmtId="166" fontId="2" fillId="3" borderId="1" xfId="0" applyAlignment="1" applyBorder="1" applyFont="1" applyNumberFormat="1" applyFill="1" applyProtection="1"/>
    <xf xxid="18" numFmtId="0" fontId="0" fillId="4" borderId="1" xfId="0" applyAlignment="1" applyBorder="1" applyFont="1" applyNumberFormat="1" applyFill="1" applyProtection="1">
      <alignment horizontal="left" vertical="center"/>
    </xf>
    <xf xxid="19" numFmtId="0" fontId="2" fillId="5" borderId="1" xfId="0" applyAlignment="1" applyBorder="1" applyFont="1" applyNumberFormat="1" applyFill="1" applyProtection="1">
      <alignment horizontal="right"/>
    </xf>
    <xf xxid="20" numFmtId="0" fontId="2" fillId="0" borderId="1" xfId="0" applyAlignment="1" applyBorder="1" applyFont="1" applyNumberFormat="1" applyFill="1" applyProtection="1">
      <alignment horizontal="center" vertical="center" wrapText="1"/>
    </xf>
    <xf xxid="21" numFmtId="49" fontId="2" fillId="0" borderId="1" xfId="0" applyAlignment="1" applyBorder="1" applyFont="1" applyNumberFormat="1" applyFill="1" applyProtection="1">
      <alignment horizontal="center" vertical="center" wrapText="1"/>
    </xf>
    <xf xxid="22" numFmtId="164" fontId="2" fillId="0" borderId="1" xfId="0" applyAlignment="1" applyBorder="1" applyFont="1" applyNumberFormat="1" applyFill="1" applyProtection="1">
      <alignment horizontal="center" vertical="center" wrapText="1"/>
    </xf>
    <xf xxid="23" numFmtId="0" fontId="2" fillId="4" borderId="1" xfId="0" applyAlignment="1" applyBorder="1" applyFont="1" applyNumberFormat="1" applyFill="1" applyProtection="1">
      <alignment horizontal="center" vertical="center"/>
    </xf>
    <xf xxid="24" numFmtId="0" fontId="3" fillId="0" borderId="1" xfId="0" applyAlignment="1" applyBorder="1" applyFont="1" applyNumberFormat="1" applyFill="1" applyProtection="1">
      <alignment horizontal="center" vertical="center" wrapText="1"/>
    </xf>
    <xf xxid="25" numFmtId="164" fontId="3" fillId="0" borderId="1" xfId="0" applyAlignment="1" applyBorder="1" applyFont="1" applyNumberFormat="1" applyFill="1" applyProtection="1">
      <alignment horizontal="center" vertical="center" wrapText="1"/>
    </xf>
    <xf xxid="26" numFmtId="0" fontId="2" fillId="3" borderId="1" xfId="0" applyAlignment="1" applyBorder="1" applyFont="1" applyNumberFormat="1" applyFill="1" applyProtection="1">
      <alignment horizontal="left" vertical="center"/>
    </xf>
    <xf xxid="27" numFmtId="166" fontId="2" fillId="3" borderId="1" xfId="0" applyAlignment="1" applyBorder="1" applyFont="1" applyNumberFormat="1" applyFill="1" applyProtection="1">
      <alignment horizontal="left"/>
    </xf>
    <xf xxid="28" numFmtId="0" fontId="5" fillId="0" borderId="2" xfId="0" applyAlignment="1" applyBorder="1" applyFont="1" applyNumberFormat="1" applyFill="1" applyProtection="1">
      <alignment vertical="center"/>
    </xf>
    <xf xxid="29" numFmtId="165" fontId="2" fillId="3" borderId="1" xfId="0" applyAlignment="1" applyBorder="1" applyFont="1" applyNumberFormat="1" applyFill="1" applyProtection="1">
      <alignment horizontal="left"/>
    </xf>
    <xf xxid="30" numFmtId="0" fontId="3" fillId="0" borderId="0" xfId="0" applyAlignment="1" applyBorder="1" applyFont="1" applyNumberFormat="1" applyFill="1" applyProtection="1">
      <alignment horizontal="center"/>
    </xf>
    <xf xxid="31" numFmtId="164" fontId="2" fillId="0" borderId="0" xfId="0" applyAlignment="1" applyBorder="1" applyFont="1" applyNumberFormat="1" applyFill="1" applyProtection="1">
      <alignment horizontal="right"/>
    </xf>
    <xf xxid="32" numFmtId="164" fontId="3" fillId="0" borderId="0" xfId="0" applyAlignment="1" applyBorder="1" applyFont="1" applyNumberFormat="1" applyFill="1" applyProtection="1">
      <alignment horizontal="right"/>
    </xf>
    <xf xxid="33" numFmtId="0" fontId="5" fillId="0" borderId="0" xfId="0" applyAlignment="1" applyBorder="1" applyFont="1" applyNumberFormat="1" applyFill="1" applyProtection="1"/>
    <xf xxid="34" numFmtId="0" fontId="2" fillId="0" borderId="1" xfId="0" applyAlignment="1" applyBorder="1" applyFont="1" applyNumberFormat="1" applyFill="1" applyProtection="1"/>
    <xf xxid="35" numFmtId="2" fontId="2" fillId="0" borderId="0" xfId="0" applyAlignment="1" applyBorder="1" applyFont="1" applyNumberFormat="1" applyFill="1" applyProtection="1"/>
    <xf xxid="36" numFmtId="2" fontId="2" fillId="0" borderId="3" xfId="0" applyAlignment="1" applyBorder="1" applyFont="1" applyNumberFormat="1" applyFill="1" applyProtection="1"/>
    <xf xxid="37" numFmtId="166" fontId="3" fillId="0" borderId="0" xfId="0" applyAlignment="1" applyBorder="1" applyFont="1" applyNumberFormat="1" applyFill="1" applyProtection="1"/>
    <xf xxid="38" numFmtId="165" fontId="2" fillId="0" borderId="0" xfId="0" applyAlignment="1" applyBorder="1" applyFont="1" applyNumberFormat="1" applyFill="1" applyProtection="1"/>
    <xf xxid="39" numFmtId="166" fontId="2" fillId="0" borderId="0" xfId="0" applyAlignment="1" applyBorder="1" applyFont="1" applyNumberFormat="1" applyFill="1" applyProtection="1"/>
    <xf xxid="40" numFmtId="165" fontId="2" fillId="0" borderId="0" xfId="0" applyAlignment="1" applyBorder="1" applyFont="1" applyNumberFormat="1" applyFill="1" applyProtection="1">
      <alignment horizontal="left"/>
    </xf>
    <xf xxid="41" numFmtId="166" fontId="2" fillId="0" borderId="0" xfId="0" applyAlignment="1" applyBorder="1" applyFont="1" applyNumberFormat="1" applyFill="1" applyProtection="1">
      <alignment horizontal="left"/>
    </xf>
    <xf xxid="42" numFmtId="0" fontId="6" fillId="0" borderId="4" xfId="0" applyAlignment="1" applyBorder="1" applyFont="1" applyNumberFormat="1" applyFill="1" applyProtection="1">
      <alignment wrapText="1"/>
    </xf>
    <xf xxid="43" numFmtId="0" fontId="6" fillId="0" borderId="0" xfId="0" applyAlignment="1" applyBorder="1" applyFont="1" applyNumberFormat="1" applyFill="1" applyProtection="1">
      <alignment wrapText="1"/>
    </xf>
    <xf xxid="44" numFmtId="0" fontId="7" fillId="0" borderId="0" xfId="0" applyAlignment="1" applyBorder="1" applyFont="1" applyNumberFormat="1" applyFill="1" applyProtection="1">
      <alignment wrapText="1"/>
    </xf>
    <xf xxid="45" numFmtId="0" fontId="7" fillId="0" borderId="2" xfId="0" applyAlignment="1" applyBorder="1" applyFont="1" applyNumberFormat="1" applyFill="1" applyProtection="1">
      <alignment wrapText="1"/>
    </xf>
    <xf xxid="46" numFmtId="0" fontId="7" fillId="0" borderId="5" xfId="0" applyAlignment="1" applyBorder="1" applyFont="1" applyNumberFormat="1" applyFill="1" applyProtection="1">
      <alignment wrapText="1"/>
    </xf>
    <xf xxid="47" numFmtId="0" fontId="7" fillId="0" borderId="0" xfId="0" applyAlignment="1" applyBorder="1" applyFont="1" applyNumberFormat="1" applyFill="1" applyProtection="1">
      <alignment vertical="center" wrapText="1"/>
    </xf>
    <xf xxid="48" numFmtId="0" fontId="5" fillId="0" borderId="0" xfId="0" applyAlignment="1" applyBorder="1" applyFont="1" applyNumberFormat="1" applyFill="1" applyProtection="1">
      <alignment horizontal="center"/>
    </xf>
    <xf xxid="49" numFmtId="0" fontId="0" fillId="0" borderId="0" xfId="0" applyAlignment="1" applyBorder="1" applyFont="1" applyNumberFormat="1" applyFill="1" applyProtection="1">
      <alignment horizontal="center"/>
    </xf>
    <xf xxid="50" numFmtId="0" fontId="2" fillId="4" borderId="4" xfId="0" applyAlignment="1" applyBorder="1" applyFont="1" applyNumberFormat="1" applyFill="1" applyProtection="1">
      <alignment horizontal="center" vertical="center" wrapText="1"/>
    </xf>
    <xf xxid="51" numFmtId="0" fontId="2" fillId="4" borderId="6" xfId="0" applyAlignment="1" applyBorder="1" applyFont="1" applyNumberFormat="1" applyFill="1" applyProtection="1">
      <alignment horizontal="center" vertical="center" wrapText="1"/>
    </xf>
    <xf xxid="52" numFmtId="0" fontId="2" fillId="4" borderId="7" xfId="0" applyAlignment="1" applyBorder="1" applyFont="1" applyNumberFormat="1" applyFill="1" applyProtection="1">
      <alignment horizontal="center" vertical="center" wrapText="1"/>
    </xf>
    <xf xxid="53" numFmtId="0" fontId="8" fillId="0" borderId="0" xfId="0" applyAlignment="1" applyBorder="1" applyFont="1" applyNumberFormat="1" applyFill="1" applyProtection="1">
      <alignment horizontal="center" vertical="center"/>
    </xf>
    <xf xxid="54" numFmtId="0" fontId="7" fillId="0" borderId="1" xfId="0" applyAlignment="1" applyBorder="1" applyFont="1" applyNumberFormat="1" applyFill="1" applyProtection="1">
      <alignment horizontal="left" vertical="center" wrapText="1"/>
    </xf>
    <xf xxid="55" numFmtId="0" fontId="3" fillId="2" borderId="4" xfId="0" applyAlignment="1" applyBorder="1" applyFont="1" applyNumberFormat="1" applyFill="1" applyProtection="1">
      <alignment horizontal="center" wrapText="1"/>
    </xf>
    <xf xxid="56" numFmtId="0" fontId="3" fillId="2" borderId="7" xfId="0" applyAlignment="1" applyBorder="1" applyFont="1" applyNumberFormat="1" applyFill="1" applyProtection="1">
      <alignment horizontal="center" wrapText="1"/>
    </xf>
    <xf xxid="57" numFmtId="0" fontId="0" fillId="0" borderId="0" xfId="0"/>
    <xf xxid="58" numFmtId="0" fontId="0" fillId="0" borderId="0" xfId="0" applyAlignment="1" applyBorder="1" applyFont="1" applyNumberFormat="1" applyFill="1" applyProtection="1" quotePrefix="1">
      <alignment horizontal="left"/>
    </xf>
  </cellXfs>
  <cellStyles count="2">
    <cellStyle name="Normal" xfId="0" builtinId="0"/>
    <cellStyle name="Hyperlink" xfId="1" builtinId="8"/>
  </cellStyles>
  <dxfs count="1">
    <dxf>
      <fill>
        <patternFill patternType="lightUp">
          <fgColor rgb="FFC00000"/>
          <bgColor indexed="65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2.xml" /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9" Type="http://schemas.openxmlformats.org/officeDocument/2006/relationships/customXml" Target="../customXml/item3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2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/xl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212722</xdr:colOff>
      <xdr:row>2</xdr:row>
      <xdr:rowOff>58043</xdr:rowOff>
    </xdr:from>
    <xdr:to>
      <xdr:col>4</xdr:col>
      <xdr:colOff>156270</xdr:colOff>
      <xdr:row>4</xdr:row>
      <xdr:rowOff>336538</xdr:rowOff>
    </xdr:to>
    <xdr:pic>
      <xdr:nvPicPr>
        <xdr:cNvPr id="1" name="Imagem 4">
          <a:extLst xmlns:a="http://schemas.openxmlformats.org/drawingml/2006/main">
            <a:ext uri="{FF2B5EF4-FFF2-40B4-BE49-F238E27FC236}">
              <a16:creationId xmlns:a16="http://schemas.microsoft.com/office/drawing/2014/main" id="{951A94D8-4C38-C9A9-5965-564344656F0E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2" y="439409"/>
          <a:ext cx="3496235" cy="659666"/>
        </a:xfrm>
        <a:prstGeom xmlns:a="http://schemas.openxmlformats.org/drawingml/2006/main"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37895</xdr:colOff>
      <xdr:row>1</xdr:row>
      <xdr:rowOff>0</xdr:rowOff>
    </xdr:from>
    <xdr:to>
      <xdr:col>1</xdr:col>
      <xdr:colOff>654146</xdr:colOff>
      <xdr:row>4</xdr:row>
      <xdr:rowOff>93762</xdr:rowOff>
    </xdr:to>
    <xdr:pic>
      <xdr:nvPicPr>
        <xdr:cNvPr id="2" name="Imagem 3">
          <a:extLst xmlns:a="http://schemas.openxmlformats.org/drawingml/2006/main">
            <a:ext uri="{FF2B5EF4-FFF2-40B4-BE49-F238E27FC236}">
              <a16:creationId xmlns:a16="http://schemas.microsoft.com/office/drawing/2014/main" id="{5D8CC545-F4A3-4AE0-A472-920FEBA6E55B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rcRect t="1"/>
        <a:stretch>
          <a:fillRect/>
        </a:stretch>
      </xdr:blipFill>
      <xdr:spPr>
        <a:xfrm>
          <a:off x="38100" y="182880"/>
          <a:ext cx="2520763" cy="6426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212722</xdr:colOff>
      <xdr:row>2</xdr:row>
      <xdr:rowOff>58043</xdr:rowOff>
    </xdr:from>
    <xdr:to>
      <xdr:col>4</xdr:col>
      <xdr:colOff>156270</xdr:colOff>
      <xdr:row>4</xdr:row>
      <xdr:rowOff>336538</xdr:rowOff>
    </xdr:to>
    <xdr:pic>
      <xdr:nvPicPr>
        <xdr:cNvPr id="1" name="Imagem 4">
          <a:extLst xmlns:a="http://schemas.openxmlformats.org/drawingml/2006/main">
            <a:ext uri="{FF2B5EF4-FFF2-40B4-BE49-F238E27FC236}">
              <a16:creationId xmlns:a16="http://schemas.microsoft.com/office/drawing/2014/main" id="{951A94D8-4C38-C9A9-5965-564344656F0E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2" y="439409"/>
          <a:ext cx="3496235" cy="659666"/>
        </a:xfrm>
        <a:prstGeom xmlns:a="http://schemas.openxmlformats.org/drawingml/2006/main"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37895</xdr:colOff>
      <xdr:row>1</xdr:row>
      <xdr:rowOff>0</xdr:rowOff>
    </xdr:from>
    <xdr:to>
      <xdr:col>1</xdr:col>
      <xdr:colOff>654146</xdr:colOff>
      <xdr:row>4</xdr:row>
      <xdr:rowOff>93762</xdr:rowOff>
    </xdr:to>
    <xdr:pic>
      <xdr:nvPicPr>
        <xdr:cNvPr id="2" name="Imagem 3">
          <a:extLst xmlns:a="http://schemas.openxmlformats.org/drawingml/2006/main">
            <a:ext uri="{FF2B5EF4-FFF2-40B4-BE49-F238E27FC236}">
              <a16:creationId xmlns:a16="http://schemas.microsoft.com/office/drawing/2014/main" id="{5D8CC545-F4A3-4AE0-A472-920FEBA6E55B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rcRect t="1"/>
        <a:stretch>
          <a:fillRect/>
        </a:stretch>
      </xdr:blipFill>
      <xdr:spPr>
        <a:xfrm>
          <a:off x="38100" y="182880"/>
          <a:ext cx="2520763" cy="6426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47"/>
  <sheetViews>
    <sheetView topLeftCell="B1" showGridLines="0" zoomScale="85" zoomScaleNormal="85" view="normal" workbookViewId="0">
      <selection pane="topLeft" activeCell="E12" sqref="E12"/>
    </sheetView>
  </sheetViews>
  <sheetFormatPr defaultColWidth="0" defaultRowHeight="15" baseColWidth="0"/>
  <cols>
    <col min="1" max="1" width="14.56640625" hidden="1" customWidth="1"/>
    <col min="2" max="2" width="17.28125" customWidth="1"/>
    <col min="3" max="3" width="16.7109375" bestFit="1" customWidth="1"/>
    <col min="4" max="4" width="19.28125" bestFit="1" customWidth="1"/>
    <col min="5" max="5" width="34.28125" bestFit="1" customWidth="1"/>
    <col min="6" max="6" width="19.7109375" bestFit="1" customWidth="1"/>
    <col min="7" max="7" width="18.421875" bestFit="1" customWidth="1"/>
    <col min="8" max="8" width="32.99609375" customWidth="1"/>
    <col min="9" max="9" width="24.13671875" bestFit="1" customWidth="1"/>
    <col min="10" max="10" width="27.99609375" bestFit="1" customWidth="1"/>
    <col min="11" max="11" width="26.7109375" bestFit="1" customWidth="1"/>
    <col min="12" max="12" width="26.13671875" hidden="1" customWidth="1"/>
    <col min="13" max="16384" width="8.8515625" hidden="1" customWidth="1"/>
  </cols>
  <sheetData>
    <row r="1" spans="2:11">
      <c r="B1" s="48"/>
      <c r="C1" s="48"/>
      <c r="D1" s="48"/>
      <c r="E1" s="48"/>
      <c r="F1" s="48"/>
      <c r="G1" s="48"/>
      <c r="H1" s="48"/>
      <c r="I1" s="48"/>
      <c r="J1" s="48"/>
      <c r="K1" s="48"/>
    </row>
    <row r="5" spans="2:11" ht="33.75">
      <c r="B5" s="47" t="s">
        <v>0</v>
      </c>
      <c r="C5" s="47"/>
      <c r="D5" s="47"/>
      <c r="E5" s="47"/>
      <c r="F5" s="47"/>
      <c r="G5" s="47"/>
      <c r="H5" s="47"/>
      <c r="I5" s="47"/>
      <c r="J5" s="47"/>
      <c r="K5" s="47"/>
    </row>
    <row r="6" spans="2:11">
      <c r="B6" s="2" t="s">
        <v>6</v>
      </c>
      <c r="C6" s="57" t="s">
        <v>31</v>
      </c>
      <c r="D6" s="1"/>
      <c r="E6" s="1"/>
      <c r="F6" s="1"/>
      <c r="G6" s="1"/>
      <c r="H6" s="1"/>
      <c r="I6" s="1"/>
      <c r="J6" s="1"/>
      <c r="K6" s="1"/>
    </row>
    <row r="7" spans="2:11">
      <c r="B7" s="2" t="s">
        <v>7</v>
      </c>
      <c r="C7" s="57" t="s">
        <v>32</v>
      </c>
      <c r="D7" s="1"/>
      <c r="E7" s="1"/>
      <c r="F7" s="1"/>
      <c r="G7" s="1"/>
      <c r="H7" s="1"/>
      <c r="I7" s="1"/>
      <c r="J7" s="1"/>
      <c r="K7" s="1"/>
    </row>
    <row r="8" spans="2:11">
      <c r="B8" s="2" t="s">
        <v>8</v>
      </c>
      <c r="C8" s="57" t="s">
        <v>33</v>
      </c>
      <c r="D8" s="1"/>
      <c r="E8" s="1"/>
      <c r="F8" s="1"/>
      <c r="G8" s="1"/>
      <c r="H8" s="1"/>
      <c r="I8" s="1"/>
      <c r="J8" s="1"/>
      <c r="K8" s="1"/>
    </row>
    <row r="9" spans="2:11">
      <c r="B9" s="2" t="s">
        <v>9</v>
      </c>
      <c r="C9" s="57" t="s">
        <v>34</v>
      </c>
      <c r="D9" s="1"/>
      <c r="E9" s="1"/>
      <c r="F9" s="1"/>
      <c r="G9" s="1"/>
      <c r="H9" s="1"/>
      <c r="I9" s="1"/>
      <c r="J9" s="1"/>
      <c r="K9" s="1"/>
    </row>
    <row r="10" spans="2:11">
      <c r="B10" s="2" t="s">
        <v>10</v>
      </c>
      <c r="C10" s="1"/>
      <c r="D10" s="1"/>
      <c r="E10" s="1"/>
      <c r="F10" s="1"/>
      <c r="G10" s="1"/>
      <c r="H10" s="1"/>
      <c r="I10" s="1"/>
      <c r="J10" s="1"/>
      <c r="K10" s="1"/>
    </row>
    <row r="12" spans="2:11">
      <c r="B12" s="4" t="s">
        <v>5</v>
      </c>
      <c r="C12" s="4" t="s">
        <v>35</v>
      </c>
      <c r="D12" s="4" t="s">
        <v>36</v>
      </c>
      <c r="E12" s="4" t="s">
        <v>1</v>
      </c>
      <c r="F12" s="4" t="s">
        <v>2</v>
      </c>
      <c r="G12" s="4" t="s">
        <v>3</v>
      </c>
      <c r="H12" s="4" t="s">
        <v>30</v>
      </c>
      <c r="I12" s="4" t="s">
        <v>4</v>
      </c>
      <c r="J12" s="4" t="s">
        <v>168</v>
      </c>
      <c r="K12" s="4" t="s">
        <v>169</v>
      </c>
    </row>
    <row r="13" spans="2:11">
      <c r="B13" s="19">
        <f>ROW(B13)-ROW($B$12)</f>
        <v>1</v>
      </c>
      <c r="C13" s="19">
        <v>1</v>
      </c>
      <c r="D13" s="19" t="s">
        <v>37</v>
      </c>
      <c r="E13" s="20" t="s">
        <v>71</v>
      </c>
      <c r="F13" s="19" t="s">
        <v>102</v>
      </c>
      <c r="G13" s="19" t="s">
        <v>135</v>
      </c>
      <c r="H13" s="19" t="s">
        <v>137</v>
      </c>
      <c r="I13" s="19">
        <v>77061</v>
      </c>
      <c r="J13" s="21">
        <v>0.37</v>
      </c>
      <c r="K13" s="21">
        <v>0.37</v>
      </c>
    </row>
    <row r="14" spans="2:11">
      <c r="B14" s="19">
        <f t="shared" si="0" ref="B14:B46">ROW(B14)-ROW($B$12)</f>
        <v>2</v>
      </c>
      <c r="C14" s="19">
        <v>4</v>
      </c>
      <c r="D14" s="19" t="s">
        <v>38</v>
      </c>
      <c r="E14" s="20" t="s">
        <v>72</v>
      </c>
      <c r="F14" s="19" t="s">
        <v>103</v>
      </c>
      <c r="G14" s="19" t="s">
        <v>136</v>
      </c>
      <c r="H14" s="19" t="s">
        <v>138</v>
      </c>
      <c r="I14" s="19">
        <v>518</v>
      </c>
      <c r="J14" s="21">
        <v>0.37</v>
      </c>
      <c r="K14" s="21">
        <v>1.48</v>
      </c>
    </row>
    <row r="15" spans="2:11">
      <c r="B15" s="19">
        <f>ROW(B15)-ROW($B$12)</f>
        <v>3</v>
      </c>
      <c r="C15" s="19">
        <v>4</v>
      </c>
      <c r="D15" s="19" t="s">
        <v>39</v>
      </c>
      <c r="E15" s="20" t="s">
        <v>73</v>
      </c>
      <c r="F15" s="19" t="s">
        <v>104</v>
      </c>
      <c r="G15" s="19" t="s">
        <v>136</v>
      </c>
      <c r="H15" s="19" t="s">
        <v>139</v>
      </c>
      <c r="I15" s="19">
        <v>465</v>
      </c>
      <c r="J15" s="21">
        <v>1.1</v>
      </c>
      <c r="K15" s="21">
        <v>4.4</v>
      </c>
    </row>
    <row r="16" spans="2:11">
      <c r="B16" s="19">
        <f>ROW(B16)-ROW($B$12)</f>
        <v>4</v>
      </c>
      <c r="C16" s="19">
        <v>1</v>
      </c>
      <c r="D16" s="19" t="s">
        <v>40</v>
      </c>
      <c r="E16" s="20" t="s">
        <v>74</v>
      </c>
      <c r="F16" s="19" t="s">
        <v>105</v>
      </c>
      <c r="G16" s="19" t="s">
        <v>136</v>
      </c>
      <c r="H16" s="19" t="s">
        <v>140</v>
      </c>
      <c r="I16" s="19">
        <v>32189</v>
      </c>
      <c r="J16" s="21">
        <v>0.71</v>
      </c>
      <c r="K16" s="21">
        <v>0.71</v>
      </c>
    </row>
    <row r="17" spans="2:11">
      <c r="B17" s="19">
        <f>ROW(B17)-ROW($B$12)</f>
        <v>5</v>
      </c>
      <c r="C17" s="19">
        <v>2</v>
      </c>
      <c r="D17" s="19" t="s">
        <v>41</v>
      </c>
      <c r="E17" s="20" t="s">
        <v>75</v>
      </c>
      <c r="F17" s="19" t="s">
        <v>106</v>
      </c>
      <c r="G17" s="19" t="s">
        <v>135</v>
      </c>
      <c r="H17" s="19" t="s">
        <v>141</v>
      </c>
      <c r="I17" s="19">
        <v>1871307</v>
      </c>
      <c r="J17" s="21">
        <v>0.25</v>
      </c>
      <c r="K17" s="21">
        <v>0.5</v>
      </c>
    </row>
    <row r="18" spans="2:11">
      <c r="B18" s="19">
        <f>ROW(B18)-ROW($B$12)</f>
        <v>6</v>
      </c>
      <c r="C18" s="19">
        <v>2</v>
      </c>
      <c r="D18" s="19" t="s">
        <v>42</v>
      </c>
      <c r="E18" s="20" t="s">
        <v>76</v>
      </c>
      <c r="F18" s="19" t="s">
        <v>107</v>
      </c>
      <c r="G18" s="19" t="s">
        <v>136</v>
      </c>
      <c r="H18" s="19" t="s">
        <v>142</v>
      </c>
      <c r="I18" s="19">
        <v>504607</v>
      </c>
      <c r="J18" s="21">
        <v>0.1</v>
      </c>
      <c r="K18" s="21">
        <v>0.2</v>
      </c>
    </row>
    <row r="19" spans="2:11">
      <c r="B19" s="19">
        <f>ROW(B19)-ROW($B$12)</f>
        <v>7</v>
      </c>
      <c r="C19" s="19">
        <v>4</v>
      </c>
      <c r="D19" s="19" t="s">
        <v>43</v>
      </c>
      <c r="E19" s="20" t="s">
        <v>77</v>
      </c>
      <c r="F19" s="19" t="s">
        <v>108</v>
      </c>
      <c r="G19" s="19" t="s">
        <v>135</v>
      </c>
      <c r="H19" s="19" t="s">
        <v>143</v>
      </c>
      <c r="I19" s="19">
        <v>87358</v>
      </c>
      <c r="J19" s="21">
        <v>0.006</v>
      </c>
      <c r="K19" s="21">
        <v>0.06</v>
      </c>
    </row>
    <row r="20" spans="2:11">
      <c r="B20" s="19">
        <f>ROW(B20)-ROW($B$12)</f>
        <v>8</v>
      </c>
      <c r="C20" s="19">
        <v>1</v>
      </c>
      <c r="D20" s="19" t="s">
        <v>44</v>
      </c>
      <c r="E20" s="20" t="s">
        <v>78</v>
      </c>
      <c r="F20" s="19" t="s">
        <v>109</v>
      </c>
      <c r="G20" s="19" t="s">
        <v>135</v>
      </c>
      <c r="H20" s="19" t="s">
        <v>144</v>
      </c>
      <c r="I20" s="19">
        <v>64097</v>
      </c>
      <c r="J20" s="21">
        <v>0.09</v>
      </c>
      <c r="K20" s="21">
        <v>0.09</v>
      </c>
    </row>
    <row r="21" spans="2:11">
      <c r="B21" s="19">
        <f>ROW(B21)-ROW($B$12)</f>
        <v>9</v>
      </c>
      <c r="C21" s="19">
        <v>2</v>
      </c>
      <c r="D21" s="19" t="s">
        <v>45</v>
      </c>
      <c r="E21" s="20" t="s">
        <v>79</v>
      </c>
      <c r="F21" s="19" t="s">
        <v>110</v>
      </c>
      <c r="G21" s="19" t="s">
        <v>135</v>
      </c>
      <c r="H21" s="19" t="s">
        <v>145</v>
      </c>
      <c r="I21" s="19">
        <v>233383</v>
      </c>
      <c r="J21" s="21">
        <v>0.1</v>
      </c>
      <c r="K21" s="21">
        <v>0.2</v>
      </c>
    </row>
    <row r="22" spans="2:11">
      <c r="B22" s="19">
        <f>ROW(B22)-ROW($B$12)</f>
        <v>10</v>
      </c>
      <c r="C22" s="19">
        <v>5</v>
      </c>
      <c r="D22" s="19" t="s">
        <v>46</v>
      </c>
      <c r="E22" s="20" t="s">
        <v>80</v>
      </c>
      <c r="F22" s="19" t="s">
        <v>111</v>
      </c>
      <c r="G22" s="19" t="s">
        <v>136</v>
      </c>
      <c r="H22" s="19" t="s">
        <v>146</v>
      </c>
      <c r="I22" s="19">
        <v>122325</v>
      </c>
      <c r="J22" s="21">
        <v>0.017</v>
      </c>
      <c r="K22" s="21">
        <v>0.17</v>
      </c>
    </row>
    <row r="23" spans="2:11">
      <c r="B23" s="19">
        <f>ROW(B23)-ROW($B$12)</f>
        <v>11</v>
      </c>
      <c r="C23" s="19">
        <v>1</v>
      </c>
      <c r="D23" s="19" t="s">
        <v>47</v>
      </c>
      <c r="E23" s="20" t="s">
        <v>81</v>
      </c>
      <c r="F23" s="19" t="s">
        <v>112</v>
      </c>
      <c r="G23" s="19" t="s">
        <v>135</v>
      </c>
      <c r="H23" s="19" t="s">
        <v>147</v>
      </c>
      <c r="I23" s="19">
        <v>22970</v>
      </c>
      <c r="J23" s="21">
        <v>0.13</v>
      </c>
      <c r="K23" s="21">
        <v>0.13</v>
      </c>
    </row>
    <row r="24" spans="2:11">
      <c r="B24" s="19">
        <f>ROW(B24)-ROW($B$12)</f>
        <v>12</v>
      </c>
      <c r="C24" s="19">
        <v>2</v>
      </c>
      <c r="D24" s="19" t="s">
        <v>48</v>
      </c>
      <c r="E24" s="20" t="s">
        <v>82</v>
      </c>
      <c r="F24" s="19" t="s">
        <v>113</v>
      </c>
      <c r="G24" s="19" t="s">
        <v>136</v>
      </c>
      <c r="H24" s="19" t="s">
        <v>148</v>
      </c>
      <c r="I24" s="19">
        <v>292912</v>
      </c>
      <c r="J24" s="21">
        <v>0.41</v>
      </c>
      <c r="K24" s="21">
        <v>0.82</v>
      </c>
    </row>
    <row r="25" spans="2:11">
      <c r="B25" s="19">
        <f>ROW(B25)-ROW($B$12)</f>
        <v>13</v>
      </c>
      <c r="C25" s="19">
        <v>1</v>
      </c>
      <c r="D25" s="19" t="s">
        <v>49</v>
      </c>
      <c r="E25" s="20" t="s">
        <v>83</v>
      </c>
      <c r="F25" s="19" t="s">
        <v>114</v>
      </c>
      <c r="G25" s="19" t="s">
        <v>135</v>
      </c>
      <c r="H25" s="19" t="s">
        <v>149</v>
      </c>
      <c r="I25" s="19">
        <v>90347</v>
      </c>
      <c r="J25" s="21">
        <v>0.11</v>
      </c>
      <c r="K25" s="21">
        <v>0.11</v>
      </c>
    </row>
    <row r="26" spans="2:11">
      <c r="B26" s="19">
        <f>ROW(B26)-ROW($B$12)</f>
        <v>14</v>
      </c>
      <c r="C26" s="19">
        <v>1</v>
      </c>
      <c r="D26" s="19" t="s">
        <v>50</v>
      </c>
      <c r="E26" s="20" t="s">
        <v>84</v>
      </c>
      <c r="F26" s="19" t="s">
        <v>115</v>
      </c>
      <c r="G26" s="19" t="s">
        <v>135</v>
      </c>
      <c r="H26" s="19" t="s">
        <v>150</v>
      </c>
      <c r="I26" s="19">
        <v>29863</v>
      </c>
      <c r="J26" s="21">
        <v>0.36</v>
      </c>
      <c r="K26" s="21">
        <v>0.36</v>
      </c>
    </row>
    <row r="27" spans="2:11">
      <c r="B27" s="19">
        <f>ROW(B27)-ROW($B$12)</f>
        <v>15</v>
      </c>
      <c r="C27" s="19">
        <v>2</v>
      </c>
      <c r="D27" s="19" t="s">
        <v>51</v>
      </c>
      <c r="E27" s="20"/>
      <c r="F27" s="19"/>
      <c r="G27" s="19"/>
      <c r="H27" s="19"/>
      <c r="I27" s="19"/>
      <c r="J27" s="21"/>
      <c r="K27" s="21"/>
    </row>
    <row r="28" spans="2:11">
      <c r="B28" s="19">
        <f>ROW(B28)-ROW($B$12)</f>
        <v>16</v>
      </c>
      <c r="C28" s="19">
        <v>5</v>
      </c>
      <c r="D28" s="19" t="s">
        <v>52</v>
      </c>
      <c r="E28" s="20" t="s">
        <v>85</v>
      </c>
      <c r="F28" s="19" t="s">
        <v>116</v>
      </c>
      <c r="G28" s="19" t="s">
        <v>135</v>
      </c>
      <c r="H28" s="19" t="s">
        <v>151</v>
      </c>
      <c r="I28" s="19">
        <v>963705</v>
      </c>
      <c r="J28" s="21">
        <v>0.1</v>
      </c>
      <c r="K28" s="21">
        <v>0.5</v>
      </c>
    </row>
    <row r="29" spans="2:11">
      <c r="B29" s="19">
        <f>ROW(B29)-ROW($B$12)</f>
        <v>17</v>
      </c>
      <c r="C29" s="19">
        <v>1</v>
      </c>
      <c r="D29" s="19" t="s">
        <v>53</v>
      </c>
      <c r="E29" s="20" t="s">
        <v>86</v>
      </c>
      <c r="F29" s="19" t="s">
        <v>117</v>
      </c>
      <c r="G29" s="19" t="s">
        <v>135</v>
      </c>
      <c r="H29" s="19" t="s">
        <v>152</v>
      </c>
      <c r="I29" s="19">
        <v>164420</v>
      </c>
      <c r="J29" s="21">
        <v>0.21</v>
      </c>
      <c r="K29" s="21">
        <v>0.21</v>
      </c>
    </row>
    <row r="30" spans="2:11">
      <c r="B30" s="19">
        <f>ROW(B30)-ROW($B$12)</f>
        <v>18</v>
      </c>
      <c r="C30" s="19">
        <v>5</v>
      </c>
      <c r="D30" s="19" t="s">
        <v>54</v>
      </c>
      <c r="E30" s="20" t="s">
        <v>87</v>
      </c>
      <c r="F30" s="19" t="s">
        <v>118</v>
      </c>
      <c r="G30" s="19" t="s">
        <v>135</v>
      </c>
      <c r="H30" s="19" t="s">
        <v>153</v>
      </c>
      <c r="I30" s="19">
        <v>142354</v>
      </c>
      <c r="J30" s="21">
        <v>0.41</v>
      </c>
      <c r="K30" s="21">
        <v>2.05</v>
      </c>
    </row>
    <row r="31" spans="2:11">
      <c r="B31" s="19">
        <f>ROW(B31)-ROW($B$12)</f>
        <v>19</v>
      </c>
      <c r="C31" s="19">
        <v>1</v>
      </c>
      <c r="D31" s="19" t="s">
        <v>55</v>
      </c>
      <c r="E31" s="20" t="s">
        <v>88</v>
      </c>
      <c r="F31" s="19" t="s">
        <v>119</v>
      </c>
      <c r="G31" s="19" t="s">
        <v>136</v>
      </c>
      <c r="H31" s="19" t="s">
        <v>154</v>
      </c>
      <c r="I31" s="19">
        <v>200202</v>
      </c>
      <c r="J31" s="21">
        <v>0.67</v>
      </c>
      <c r="K31" s="21">
        <v>0.67</v>
      </c>
    </row>
    <row r="32" spans="2:11">
      <c r="B32" s="19">
        <f>ROW(B32)-ROW($B$12)</f>
        <v>20</v>
      </c>
      <c r="C32" s="19">
        <v>2</v>
      </c>
      <c r="D32" s="19" t="s">
        <v>56</v>
      </c>
      <c r="E32" s="20" t="s">
        <v>89</v>
      </c>
      <c r="F32" s="19" t="s">
        <v>120</v>
      </c>
      <c r="G32" s="19" t="s">
        <v>135</v>
      </c>
      <c r="H32" s="19" t="s">
        <v>155</v>
      </c>
      <c r="I32" s="19">
        <v>298177</v>
      </c>
      <c r="J32" s="21">
        <v>0.1</v>
      </c>
      <c r="K32" s="21">
        <v>0.2</v>
      </c>
    </row>
    <row r="33" spans="2:11">
      <c r="B33" s="19">
        <f>ROW(B33)-ROW($B$12)</f>
        <v>21</v>
      </c>
      <c r="C33" s="19">
        <v>1</v>
      </c>
      <c r="D33" s="19" t="s">
        <v>57</v>
      </c>
      <c r="E33" s="20" t="s">
        <v>90</v>
      </c>
      <c r="F33" s="19" t="s">
        <v>121</v>
      </c>
      <c r="G33" s="19" t="s">
        <v>135</v>
      </c>
      <c r="H33" s="19" t="s">
        <v>156</v>
      </c>
      <c r="I33" s="19">
        <v>23951</v>
      </c>
      <c r="J33" s="21">
        <v>0.33</v>
      </c>
      <c r="K33" s="21">
        <v>0.33</v>
      </c>
    </row>
    <row r="34" spans="2:11">
      <c r="B34" s="19">
        <f>ROW(B34)-ROW($B$12)</f>
        <v>22</v>
      </c>
      <c r="C34" s="19">
        <v>4</v>
      </c>
      <c r="D34" s="19" t="s">
        <v>58</v>
      </c>
      <c r="E34" s="20"/>
      <c r="F34" s="19" t="s">
        <v>122</v>
      </c>
      <c r="G34" s="19"/>
      <c r="H34" s="19"/>
      <c r="I34" s="19"/>
      <c r="J34" s="21"/>
      <c r="K34" s="21"/>
    </row>
    <row r="35" spans="2:11">
      <c r="B35" s="19">
        <f>ROW(B35)-ROW($B$12)</f>
        <v>23</v>
      </c>
      <c r="C35" s="19">
        <v>1</v>
      </c>
      <c r="D35" s="19" t="s">
        <v>59</v>
      </c>
      <c r="E35" s="20" t="s">
        <v>91</v>
      </c>
      <c r="F35" s="19" t="s">
        <v>123</v>
      </c>
      <c r="G35" s="19" t="s">
        <v>136</v>
      </c>
      <c r="H35" s="19" t="s">
        <v>157</v>
      </c>
      <c r="I35" s="19">
        <v>3503484</v>
      </c>
      <c r="J35" s="21">
        <v>0.11</v>
      </c>
      <c r="K35" s="21">
        <v>0.11</v>
      </c>
    </row>
    <row r="36" spans="2:11">
      <c r="B36" s="19">
        <f>ROW(B36)-ROW($B$12)</f>
        <v>24</v>
      </c>
      <c r="C36" s="19">
        <v>1</v>
      </c>
      <c r="D36" s="19" t="s">
        <v>60</v>
      </c>
      <c r="E36" s="20" t="s">
        <v>92</v>
      </c>
      <c r="F36" s="19" t="s">
        <v>124</v>
      </c>
      <c r="G36" s="19" t="s">
        <v>136</v>
      </c>
      <c r="H36" s="19" t="s">
        <v>158</v>
      </c>
      <c r="I36" s="19">
        <v>268064</v>
      </c>
      <c r="J36" s="21">
        <v>0.11</v>
      </c>
      <c r="K36" s="21">
        <v>0.11</v>
      </c>
    </row>
    <row r="37" spans="2:11">
      <c r="B37" s="19">
        <f>ROW(B37)-ROW($B$12)</f>
        <v>25</v>
      </c>
      <c r="C37" s="19">
        <v>3</v>
      </c>
      <c r="D37" s="19" t="s">
        <v>61</v>
      </c>
      <c r="E37" s="20" t="s">
        <v>93</v>
      </c>
      <c r="F37" s="19" t="s">
        <v>125</v>
      </c>
      <c r="G37" s="19" t="s">
        <v>136</v>
      </c>
      <c r="H37" s="19" t="s">
        <v>159</v>
      </c>
      <c r="I37" s="19">
        <v>1378471</v>
      </c>
      <c r="J37" s="21">
        <v>0.014</v>
      </c>
      <c r="K37" s="21">
        <v>0.14</v>
      </c>
    </row>
    <row r="38" spans="2:11">
      <c r="B38" s="19">
        <f>ROW(B38)-ROW($B$12)</f>
        <v>26</v>
      </c>
      <c r="C38" s="19">
        <v>1</v>
      </c>
      <c r="D38" s="19" t="s">
        <v>62</v>
      </c>
      <c r="E38" s="20" t="s">
        <v>94</v>
      </c>
      <c r="F38" s="19" t="s">
        <v>126</v>
      </c>
      <c r="G38" s="19" t="s">
        <v>135</v>
      </c>
      <c r="H38" s="19" t="s">
        <v>160</v>
      </c>
      <c r="I38" s="19">
        <v>75321</v>
      </c>
      <c r="J38" s="21">
        <v>0.13</v>
      </c>
      <c r="K38" s="21">
        <v>0.13</v>
      </c>
    </row>
    <row r="39" spans="2:11">
      <c r="B39" s="19">
        <f>ROW(B39)-ROW($B$12)</f>
        <v>27</v>
      </c>
      <c r="C39" s="19">
        <v>1</v>
      </c>
      <c r="D39" s="19" t="s">
        <v>63</v>
      </c>
      <c r="E39" s="20" t="s">
        <v>95</v>
      </c>
      <c r="F39" s="19" t="s">
        <v>127</v>
      </c>
      <c r="G39" s="19" t="s">
        <v>136</v>
      </c>
      <c r="H39" s="19" t="s">
        <v>161</v>
      </c>
      <c r="I39" s="19">
        <v>42459</v>
      </c>
      <c r="J39" s="21">
        <v>0.1</v>
      </c>
      <c r="K39" s="21">
        <v>0.1</v>
      </c>
    </row>
    <row r="40" spans="2:11">
      <c r="B40" s="19">
        <f>ROW(B40)-ROW($B$12)</f>
        <v>28</v>
      </c>
      <c r="C40" s="19">
        <v>1</v>
      </c>
      <c r="D40" s="19" t="s">
        <v>64</v>
      </c>
      <c r="E40" s="20" t="s">
        <v>96</v>
      </c>
      <c r="F40" s="19" t="s">
        <v>128</v>
      </c>
      <c r="G40" s="19" t="s">
        <v>136</v>
      </c>
      <c r="H40" s="19" t="s">
        <v>162</v>
      </c>
      <c r="I40" s="19">
        <v>31030</v>
      </c>
      <c r="J40" s="21">
        <v>0.1</v>
      </c>
      <c r="K40" s="21">
        <v>0.1</v>
      </c>
    </row>
    <row r="41" spans="2:11">
      <c r="B41" s="19">
        <f>ROW(B41)-ROW($B$12)</f>
        <v>29</v>
      </c>
      <c r="C41" s="19">
        <v>4</v>
      </c>
      <c r="D41" s="19" t="s">
        <v>65</v>
      </c>
      <c r="E41" s="20"/>
      <c r="F41" s="19" t="s">
        <v>129</v>
      </c>
      <c r="G41" s="19"/>
      <c r="H41" s="19"/>
      <c r="I41" s="19"/>
      <c r="J41" s="21"/>
      <c r="K41" s="21"/>
    </row>
    <row r="42" spans="2:11">
      <c r="B42" s="19">
        <f>ROW(B42)-ROW($B$12)</f>
        <v>30</v>
      </c>
      <c r="C42" s="19">
        <v>1</v>
      </c>
      <c r="D42" s="19" t="s">
        <v>66</v>
      </c>
      <c r="E42" s="20" t="s">
        <v>97</v>
      </c>
      <c r="F42" s="19" t="s">
        <v>130</v>
      </c>
      <c r="G42" s="19" t="s">
        <v>135</v>
      </c>
      <c r="H42" s="19" t="s">
        <v>163</v>
      </c>
      <c r="I42" s="19">
        <v>346581</v>
      </c>
      <c r="J42" s="21">
        <v>0.22</v>
      </c>
      <c r="K42" s="21">
        <v>0.22</v>
      </c>
    </row>
    <row r="43" spans="2:11">
      <c r="B43" s="19">
        <f>ROW(B43)-ROW($B$12)</f>
        <v>31</v>
      </c>
      <c r="C43" s="19">
        <v>1</v>
      </c>
      <c r="D43" s="19" t="s">
        <v>67</v>
      </c>
      <c r="E43" s="20" t="s">
        <v>98</v>
      </c>
      <c r="F43" s="19" t="s">
        <v>131</v>
      </c>
      <c r="G43" s="19" t="s">
        <v>135</v>
      </c>
      <c r="H43" s="19" t="s">
        <v>164</v>
      </c>
      <c r="I43" s="19">
        <v>8720</v>
      </c>
      <c r="J43" s="21">
        <v>0.42</v>
      </c>
      <c r="K43" s="21">
        <v>0.42</v>
      </c>
    </row>
    <row r="44" spans="2:11">
      <c r="B44" s="19">
        <f>ROW(B44)-ROW($B$12)</f>
        <v>32</v>
      </c>
      <c r="C44" s="19">
        <v>1</v>
      </c>
      <c r="D44" s="19" t="s">
        <v>68</v>
      </c>
      <c r="E44" s="20" t="s">
        <v>99</v>
      </c>
      <c r="F44" s="19" t="s">
        <v>132</v>
      </c>
      <c r="G44" s="19" t="s">
        <v>135</v>
      </c>
      <c r="H44" s="19" t="s">
        <v>165</v>
      </c>
      <c r="I44" s="19">
        <v>2904</v>
      </c>
      <c r="J44" s="21">
        <v>0.27</v>
      </c>
      <c r="K44" s="21">
        <v>0.27</v>
      </c>
    </row>
    <row r="45" spans="2:11">
      <c r="B45" s="19">
        <f>ROW(B45)-ROW($B$12)</f>
        <v>33</v>
      </c>
      <c r="C45" s="19">
        <v>1</v>
      </c>
      <c r="D45" s="19" t="s">
        <v>69</v>
      </c>
      <c r="E45" s="20" t="s">
        <v>100</v>
      </c>
      <c r="F45" s="19" t="s">
        <v>133</v>
      </c>
      <c r="G45" s="19" t="s">
        <v>136</v>
      </c>
      <c r="H45" s="19" t="s">
        <v>166</v>
      </c>
      <c r="I45" s="19">
        <v>8286</v>
      </c>
      <c r="J45" s="21">
        <v>0.96</v>
      </c>
      <c r="K45" s="21">
        <v>0.96</v>
      </c>
    </row>
    <row r="46" spans="2:11">
      <c r="B46" s="19">
        <f>ROW(B46)-ROW($B$12)</f>
        <v>34</v>
      </c>
      <c r="C46" s="19">
        <v>1</v>
      </c>
      <c r="D46" s="19" t="s">
        <v>70</v>
      </c>
      <c r="E46" s="20" t="s">
        <v>101</v>
      </c>
      <c r="F46" s="19" t="s">
        <v>134</v>
      </c>
      <c r="G46" s="19" t="s">
        <v>136</v>
      </c>
      <c r="H46" s="19" t="s">
        <v>167</v>
      </c>
      <c r="I46" s="19">
        <v>5801</v>
      </c>
      <c r="J46" s="21">
        <v>0.32</v>
      </c>
      <c r="K46" s="21">
        <v>0.32</v>
      </c>
    </row>
    <row r="47" spans="2:11">
      <c r="B47" s="22"/>
      <c r="C47" s="23">
        <f>SUM(C13:C46)</f>
        <v>69</v>
      </c>
      <c r="D47" s="49"/>
      <c r="E47" s="50"/>
      <c r="F47" s="50"/>
      <c r="G47" s="50"/>
      <c r="H47" s="50"/>
      <c r="I47" s="50"/>
      <c r="J47" s="51"/>
      <c r="K47" s="24">
        <f>SUM(K13:K46)</f>
        <v>16.439999999999998</v>
      </c>
    </row>
  </sheetData>
  <mergeCells count="7">
    <mergeCell ref="B5:K5"/>
    <mergeCell ref="B1:K1"/>
    <mergeCell ref="C9:K9"/>
    <mergeCell ref="D47:J47"/>
    <mergeCell ref="C8:K8"/>
    <mergeCell ref="C7:K7"/>
    <mergeCell ref="C6:K6"/>
  </mergeCells>
  <conditionalFormatting sqref="B13:K14 B46:K46">
    <cfRule type="expression" dxfId="0" priority="1">
      <formula>$I13&lt;$C13</formula>
    </cfRule>
  </conditionalFormatting>
  <conditionalFormatting sqref="B15:K45">
    <cfRule type="expression" dxfId="0" priority="1">
      <formula>$I13&lt;$C13</formula>
    </cfRule>
  </conditionalFormatting>
  <pageMargins left="0.511811024" right="0.511811024" top="0.787401575" bottom="0.787401575" header="0.31496062" footer="0.31496062"/>
  <pageSetup paperSize="9" orientation="portrait" r:id="rId1"/>
  <drawing r:id="rId2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64"/>
  <sheetViews>
    <sheetView topLeftCell="A7" showGridLines="0" view="normal" workbookViewId="0">
      <selection pane="topLeft" activeCell="C21" sqref="C21"/>
    </sheetView>
  </sheetViews>
  <sheetFormatPr defaultColWidth="0" zeroHeight="true" defaultRowHeight="15" baseColWidth="0"/>
  <cols>
    <col min="1" max="1" width="27.7109375" bestFit="1" customWidth="1"/>
    <col min="2" max="2" width="20.7109375" customWidth="1"/>
    <col min="3" max="3" width="26.28125" customWidth="1"/>
    <col min="4" max="4" width="1.99609375" hidden="1" customWidth="1"/>
    <col min="5" max="5" width="3.13671875" hidden="1" customWidth="1"/>
    <col min="6" max="6" width="14.99609375" hidden="1" customWidth="1"/>
    <col min="7" max="7" width="13.56640625" hidden="1" customWidth="1"/>
    <col min="8" max="8" width="27.99609375" hidden="1" customWidth="1"/>
    <col min="9" max="9" width="26.7109375" hidden="1" customWidth="1"/>
    <col min="10" max="10" width="26.13671875" hidden="1" customWidth="1"/>
    <col min="11" max="16362" width="8.8515625" hidden="1" customWidth="1"/>
    <col min="16364" max="16384" width="8.8515625" hidden="1" customWidth="1"/>
  </cols>
  <sheetData>
    <row r="1"/>
    <row r="2"/>
    <row r="3"/>
    <row r="4"/>
    <row r="5"/>
    <row r="6"/>
    <row r="7"/>
    <row r="8" spans="1:9" ht="33.75">
      <c r="A8" s="52" t="s">
        <v>11</v>
      </c>
      <c r="B8" s="52"/>
      <c r="C8" s="52"/>
      <c r="D8" s="10"/>
      <c r="E8" s="10"/>
      <c r="F8" s="10"/>
      <c r="G8" s="10"/>
      <c r="H8" s="7"/>
      <c r="I8" s="7"/>
    </row>
    <row r="9" spans="1:7" customHeight="1">
      <c r="A9" s="10"/>
      <c r="B9" s="27"/>
      <c r="C9" s="27"/>
      <c r="D9" s="10"/>
      <c r="E9" s="10"/>
      <c r="F9" s="10"/>
      <c r="G9" s="10"/>
    </row>
    <row r="10" spans="1:9">
      <c r="A10" s="29"/>
      <c r="B10" s="54" t="s">
        <v>29</v>
      </c>
      <c r="C10" s="55"/>
      <c r="D10" s="29"/>
      <c r="E10" s="29"/>
      <c r="F10" s="29"/>
      <c r="G10" s="29"/>
      <c r="H10" s="29"/>
      <c r="I10" s="29"/>
    </row>
    <row r="11" spans="1:9">
      <c r="A11" s="18"/>
      <c r="B11" s="3" t="s">
        <v>13</v>
      </c>
      <c r="C11" s="3" t="s">
        <v>14</v>
      </c>
      <c r="D11" s="5"/>
      <c r="E11" s="5"/>
      <c r="F11" s="5"/>
      <c r="G11" s="5"/>
      <c r="H11" s="30"/>
      <c r="I11" s="30"/>
    </row>
    <row r="12" spans="1:9">
      <c r="A12" s="3" t="s">
        <v>12</v>
      </c>
      <c r="B12" s="8">
        <f>'BoM'!K47</f>
        <v>16.439999999999998</v>
      </c>
      <c r="C12" s="9">
        <f t="shared" si="0" ref="C12:C17">B12*$B$22</f>
        <v>92.668992</v>
      </c>
      <c r="D12" s="37"/>
      <c r="E12" s="38"/>
      <c r="F12" s="37"/>
      <c r="G12" s="38"/>
      <c r="H12" s="30"/>
      <c r="I12" s="30"/>
    </row>
    <row r="13" spans="1:9">
      <c r="A13" s="3" t="s">
        <v>16</v>
      </c>
      <c r="B13" s="8">
        <v>40</v>
      </c>
      <c r="C13" s="9">
        <f t="shared" si="0">B13*$B$22</f>
        <v>225.472</v>
      </c>
      <c r="D13" s="37"/>
      <c r="E13" s="38"/>
      <c r="F13" s="37"/>
      <c r="G13" s="38"/>
      <c r="H13" s="30"/>
      <c r="I13" s="30"/>
    </row>
    <row r="14" spans="1:9">
      <c r="A14" s="3" t="s">
        <v>17</v>
      </c>
      <c r="B14" s="8">
        <f>0.6*SUM(B12:B13)</f>
        <v>33.864</v>
      </c>
      <c r="C14" s="9">
        <f t="shared" si="0">B14*$B$22</f>
        <v>190.8845952</v>
      </c>
      <c r="D14" s="37"/>
      <c r="E14" s="38"/>
      <c r="F14" s="37"/>
      <c r="G14" s="38"/>
      <c r="H14" s="5"/>
      <c r="I14" s="31"/>
    </row>
    <row r="15" spans="1:7">
      <c r="A15" s="3" t="s">
        <v>15</v>
      </c>
      <c r="B15" s="8">
        <f>SUM(B12:B14)*0.18/0.82</f>
        <v>19.822829268292683</v>
      </c>
      <c r="C15" s="9">
        <f t="shared" si="0">B15*$B$22</f>
        <v>111.737324019512</v>
      </c>
      <c r="D15" s="37"/>
      <c r="E15" s="38"/>
      <c r="F15" s="37"/>
      <c r="G15" s="38"/>
    </row>
    <row r="16" spans="1:7">
      <c r="A16" s="3" t="s">
        <v>18</v>
      </c>
      <c r="B16" s="8">
        <v>16.87</v>
      </c>
      <c r="C16" s="9">
        <f t="shared" si="0">B16*$B$22</f>
        <v>95.092816</v>
      </c>
      <c r="D16" s="37"/>
      <c r="E16" s="38"/>
      <c r="F16" s="37"/>
      <c r="G16" s="38"/>
    </row>
    <row r="17" spans="1:7">
      <c r="A17" s="14" t="s">
        <v>19</v>
      </c>
      <c r="B17" s="15">
        <f>SUM(B14:B16)</f>
        <v>70.55682926829269</v>
      </c>
      <c r="C17" s="16">
        <f t="shared" si="0">B17*$B$22</f>
        <v>397.714735219512</v>
      </c>
      <c r="D17" s="37"/>
      <c r="E17" s="38"/>
      <c r="F17" s="37"/>
      <c r="G17" s="38"/>
    </row>
    <row r="18"/>
    <row r="19" spans="1:9" ht="33.75">
      <c r="A19" s="52" t="s">
        <v>24</v>
      </c>
      <c r="B19" s="52"/>
      <c r="C19" s="52"/>
      <c r="D19" s="10"/>
      <c r="E19" s="10"/>
      <c r="F19" s="10"/>
      <c r="G19" s="10"/>
      <c r="H19" s="32"/>
      <c r="I19" s="32"/>
    </row>
    <row r="20" spans="1:7" customHeight="1">
      <c r="A20" s="10"/>
      <c r="B20" s="10"/>
      <c r="C20" s="10"/>
      <c r="D20" s="10"/>
      <c r="E20" s="10"/>
      <c r="F20" s="10"/>
      <c r="G20" s="10"/>
    </row>
    <row r="21" spans="1:4">
      <c r="A21" s="11" t="str">
        <f ca="1">"USD &lt;-&gt; BRL (" &amp; TEXT(TODAY(),"DD/MM/AA")&amp;")"</f>
        <v>USD &lt;-&gt; BRL (24/09/AA)</v>
      </c>
      <c r="B21" s="33">
        <v>5.42</v>
      </c>
      <c r="C21" s="34"/>
      <c r="D21" s="5"/>
    </row>
    <row r="22" spans="1:4">
      <c r="A22" s="12" t="s">
        <v>20</v>
      </c>
      <c r="B22" s="35">
        <f>B21*1.04</f>
        <v>5.6368</v>
      </c>
      <c r="C22" s="36"/>
      <c r="D22" s="6"/>
    </row>
    <row r="23" spans="1:7">
      <c r="A23" s="17"/>
      <c r="B23" s="54" t="s">
        <v>29</v>
      </c>
      <c r="C23" s="55"/>
      <c r="D23" s="29"/>
      <c r="E23" s="29"/>
      <c r="F23" s="29"/>
      <c r="G23" s="29"/>
    </row>
    <row r="24" spans="1:7">
      <c r="A24" s="13" t="s">
        <v>25</v>
      </c>
      <c r="B24" s="8">
        <f>SUM(B12:B13)</f>
        <v>56.44</v>
      </c>
      <c r="C24" s="9">
        <f>B24*$B$22</f>
        <v>318.140992</v>
      </c>
      <c r="D24" s="37"/>
      <c r="E24" s="38"/>
      <c r="F24" s="37"/>
      <c r="G24" s="38"/>
    </row>
    <row r="25" spans="1:7">
      <c r="A25" s="13" t="s">
        <v>26</v>
      </c>
      <c r="B25" s="8">
        <f>SUM(B14:B16)</f>
        <v>70.55682926829269</v>
      </c>
      <c r="C25" s="9">
        <f>B25*$B$22</f>
        <v>397.714735219512</v>
      </c>
      <c r="D25" s="37"/>
      <c r="E25" s="38"/>
      <c r="F25" s="37"/>
      <c r="G25" s="38"/>
    </row>
    <row r="26" spans="1:7">
      <c r="A26" s="25" t="s">
        <v>23</v>
      </c>
      <c r="B26" s="28">
        <f>SUM(B24:B25)</f>
        <v>126.99682926829269</v>
      </c>
      <c r="C26" s="26">
        <f t="shared" si="1" ref="C26">SUM(C24:C25)</f>
        <v>715.855727219512</v>
      </c>
      <c r="D26" s="39"/>
      <c r="E26" s="40"/>
      <c r="F26" s="39"/>
      <c r="G26" s="40"/>
    </row>
    <row r="27" spans="1:7" ht="19.15" customHeight="1">
      <c r="A27" s="53" t="s">
        <v>27</v>
      </c>
      <c r="B27" s="53"/>
      <c r="C27" s="53"/>
      <c r="D27" s="43"/>
      <c r="E27" s="43"/>
      <c r="F27" s="44"/>
      <c r="G27" s="45"/>
    </row>
    <row r="28" spans="1:9" s="41" customFormat="1" ht="27" customHeight="1">
      <c r="A28" s="53" t="s">
        <v>28</v>
      </c>
      <c r="B28" s="53"/>
      <c r="C28" s="53"/>
      <c r="D28" s="46"/>
      <c r="E28" s="46"/>
      <c r="F28" s="43"/>
      <c r="G28" s="43"/>
      <c r="H28" s="42"/>
      <c r="I28" s="42"/>
    </row>
    <row r="64" spans="4:5" hidden="1">
      <c r="D64" s="56" t="s">
        <v>21</v>
      </c>
      <c r="E64" s="56" t="s">
        <v>22</v>
      </c>
    </row>
  </sheetData>
  <mergeCells count="10">
    <mergeCell ref="D10:E10"/>
    <mergeCell ref="F10:G10"/>
    <mergeCell ref="B23:C23"/>
    <mergeCell ref="D23:E23"/>
    <mergeCell ref="F23:G23"/>
    <mergeCell ref="A8:C8"/>
    <mergeCell ref="A19:C19"/>
    <mergeCell ref="A28:C28"/>
    <mergeCell ref="A27:C27"/>
    <mergeCell ref="B10:C10"/>
  </mergeCells>
  <pageMargins left="0.511811024" right="0.511811024" top="0.787401575" bottom="0.787401575" header="0.31496062" footer="0.31496062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fd81bd-aa47-44fe-a879-d8b0a59d073f" xsi:nil="true"/>
    <lcf76f155ced4ddcb4097134ff3c332f xmlns="67754bcf-640a-45dc-a4a1-3295cc8f1c1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3A3410C182AB469BFD6543519C0FE4" ma:contentTypeVersion="12" ma:contentTypeDescription="Crie um novo documento." ma:contentTypeScope="" ma:versionID="2fe405e9385892723840c96a6d735dcf">
  <xsd:schema xmlns:xsd="http://www.w3.org/2001/XMLSchema" xmlns:xs="http://www.w3.org/2001/XMLSchema" xmlns:p="http://schemas.microsoft.com/office/2006/metadata/properties" xmlns:ns2="67754bcf-640a-45dc-a4a1-3295cc8f1c13" xmlns:ns3="eafd81bd-aa47-44fe-a879-d8b0a59d073f" targetNamespace="http://schemas.microsoft.com/office/2006/metadata/properties" ma:root="true" ma:fieldsID="3e3278376455a019c4f3e06f3cbff1cf" ns2:_="" ns3:_="">
    <xsd:import namespace="67754bcf-640a-45dc-a4a1-3295cc8f1c13"/>
    <xsd:import namespace="eafd81bd-aa47-44fe-a879-d8b0a59d07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54bcf-640a-45dc-a4a1-3295cc8f1c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039465f-5c76-4b09-96a5-0acc751ed3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fd81bd-aa47-44fe-a879-d8b0a59d07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68b3f37-d2e3-415f-a268-32a125f5abf9}" ma:internalName="TaxCatchAll" ma:showField="CatchAllData" ma:web="eafd81bd-aa47-44fe-a879-d8b0a59d07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CEDFC9-7F99-4013-85DF-09F0F86F7B6A}">
  <ds:schemaRefs>
    <ds:schemaRef ds:uri="http://schemas.microsoft.com/office/2006/metadata/properties"/>
    <ds:schemaRef ds:uri="http://schemas.microsoft.com/office/infopath/2007/PartnerControls"/>
    <ds:schemaRef ds:uri="eafd81bd-aa47-44fe-a879-d8b0a59d073f"/>
    <ds:schemaRef ds:uri="67754bcf-640a-45dc-a4a1-3295cc8f1c13"/>
  </ds:schemaRefs>
</ds:datastoreItem>
</file>

<file path=customXml/itemProps2.xml><?xml version="1.0" encoding="utf-8"?>
<ds:datastoreItem xmlns:ds="http://schemas.openxmlformats.org/officeDocument/2006/customXml" ds:itemID="{7B4973F1-FB21-417F-AF6C-D9174DD308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13DF8D-4E7A-4B00-A047-BE5897B9F8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754bcf-640a-45dc-a4a1-3295cc8f1c13"/>
    <ds:schemaRef ds:uri="eafd81bd-aa47-44fe-a879-d8b0a59d07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>
  <Application>Microsoft Excel</Application>
  <Company/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Newton Fonsêca</dc:creator>
  <cp:lastModifiedBy>Jonatas Kinas</cp:lastModifiedBy>
  <dcterms:created xsi:type="dcterms:W3CDTF">2021-08-20T00:23:50Z</dcterms:created>
  <dcterms:modified xsi:type="dcterms:W3CDTF">2024-10-06T20:58:35Z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0x010100983A3410C182AB469BFD6543519C0FE4</vt:lpwstr>
  </property>
</Properties>
</file>